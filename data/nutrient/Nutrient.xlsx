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<sst xmlns="http://schemas.openxmlformats.org/spreadsheetml/2006/main" count="24" uniqueCount="14">
  <si>
    <t>date</t>
  </si>
  <si>
    <t>A220</t>
  </si>
  <si>
    <t>A275</t>
  </si>
  <si>
    <t>A880</t>
  </si>
  <si>
    <t>A220-2*A275</t>
  </si>
  <si>
    <t>NO3-</t>
  </si>
  <si>
    <t>PO43-</t>
  </si>
  <si>
    <t>稀释倍数/终浓度</t>
  </si>
  <si>
    <t>CC-1</t>
  </si>
  <si>
    <t>CC-2</t>
  </si>
  <si>
    <t>CNS-1</t>
  </si>
  <si>
    <t>CNS-2</t>
  </si>
  <si>
    <t>CPS-1</t>
  </si>
  <si>
    <t>CPS-2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</si>
</sst>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"/>
    <numFmt numFmtId="166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horizontal="right" vertical="bottom"/>
    </xf>
    <xf borderId="0" fillId="2" fontId="1" numFmtId="2" xfId="0" applyAlignment="1" applyFill="1" applyFont="1" applyNumberFormat="1">
      <alignment horizontal="right" vertical="bottom"/>
    </xf>
    <xf borderId="0" fillId="2" fontId="1" numFmtId="2" xfId="0" applyAlignment="1" applyFill="1" applyFont="1" applyNumberForma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3</v>
      </c>
      <c r="I1" s="1"/>
      <c r="J1" s="1" t="s">
        <v>5</v>
      </c>
      <c r="K1" s="1" t="s">
        <v>6</v>
      </c>
      <c r="L1" s="1" t="s">
        <v>7</v>
      </c>
      <c r="M1" s="1" t="s">
        <v>5</v>
      </c>
      <c r="N1" s="1" t="s">
        <v>6</v>
      </c>
    </row>
    <row r="2">
      <c r="A2" s="2">
        <v>46237.0</v>
      </c>
      <c r="B2" s="1" t="s">
        <v>8</v>
      </c>
      <c r="C2" s="3">
        <v>0.596</v>
      </c>
      <c r="D2" s="3">
        <v>0.032</v>
      </c>
      <c r="E2" s="4">
        <v>0.149</v>
      </c>
      <c r="F2" s="5"/>
      <c r="G2" s="4">
        <v>0.532</v>
      </c>
      <c r="H2" s="3">
        <v>0.149</v>
      </c>
      <c r="I2" s="1"/>
      <c r="J2" s="3">
        <v>158.286542857143</v>
      </c>
      <c r="K2" s="3">
        <v>6.644612</v>
      </c>
      <c r="L2" s="3">
        <v>5.0</v>
      </c>
      <c r="M2" s="4">
        <v>791.432714285714</v>
      </c>
      <c r="N2" s="4">
        <v>33.22306</v>
      </c>
    </row>
    <row r="3">
      <c r="A3" s="1"/>
      <c r="B3" s="1" t="s">
        <v>9</v>
      </c>
      <c r="C3" s="3">
        <v>0.555</v>
      </c>
      <c r="D3" s="3">
        <v>0.028</v>
      </c>
      <c r="E3" s="6">
        <v>0.141</v>
      </c>
      <c r="F3" s="5"/>
      <c r="G3" s="7">
        <v>0.499</v>
      </c>
      <c r="H3" s="3">
        <v>0.141</v>
      </c>
      <c r="I3" s="1"/>
      <c r="J3" s="3">
        <v>148.300978571429</v>
      </c>
      <c r="K3" s="4">
        <v>6.287108</v>
      </c>
      <c r="L3" s="5"/>
      <c r="M3" s="4">
        <v>741.504892857143</v>
      </c>
      <c r="N3" s="4">
        <v>31.43554</v>
      </c>
    </row>
    <row r="4">
      <c r="A4" s="1"/>
      <c r="B4" s="1" t="s">
        <v>10</v>
      </c>
      <c r="C4" s="4">
        <v>0.4</v>
      </c>
      <c r="D4" s="3">
        <v>0.113</v>
      </c>
      <c r="E4" s="4">
        <v>0.14</v>
      </c>
      <c r="F4" s="5"/>
      <c r="G4" s="4">
        <v>0.174</v>
      </c>
      <c r="H4" s="3">
        <v>0.14</v>
      </c>
      <c r="I4" s="1"/>
      <c r="J4" s="3">
        <v>49.9583</v>
      </c>
      <c r="K4" s="4">
        <v>6.24242</v>
      </c>
      <c r="L4" s="5"/>
      <c r="M4" s="4">
        <v>49.9583</v>
      </c>
      <c r="N4" s="4">
        <v>31.2121</v>
      </c>
    </row>
    <row r="5">
      <c r="A5" s="1"/>
      <c r="B5" s="1" t="s">
        <v>11</v>
      </c>
      <c r="C5" s="4">
        <v>0.424</v>
      </c>
      <c r="D5" s="4">
        <v>0.117</v>
      </c>
      <c r="E5" s="4">
        <v>0.143</v>
      </c>
      <c r="F5" s="1"/>
      <c r="G5" s="4">
        <v>0.19</v>
      </c>
      <c r="H5" s="4">
        <v>0.143</v>
      </c>
      <c r="I5" s="1"/>
      <c r="J5" s="4">
        <v>54.7997857142857</v>
      </c>
      <c r="K5" s="4">
        <v>6.376484</v>
      </c>
      <c r="L5" s="1"/>
      <c r="M5" s="4">
        <v>54.7997857142857</v>
      </c>
      <c r="N5" s="4">
        <v>31.88242</v>
      </c>
    </row>
    <row r="6">
      <c r="A6" s="1"/>
      <c r="B6" s="1" t="s">
        <v>12</v>
      </c>
      <c r="C6" s="4">
        <v>0.54</v>
      </c>
      <c r="D6" s="3">
        <v>0.031</v>
      </c>
      <c r="E6" s="4">
        <v>0.043</v>
      </c>
      <c r="F6" s="5"/>
      <c r="G6" s="4">
        <v>0.478</v>
      </c>
      <c r="H6" s="3">
        <v>0.043</v>
      </c>
      <c r="I6" s="1"/>
      <c r="J6" s="3">
        <v>141.946528571429</v>
      </c>
      <c r="K6" s="4">
        <v>1.907684</v>
      </c>
      <c r="L6" s="5"/>
      <c r="M6" s="4">
        <v>709.732642857143</v>
      </c>
      <c r="N6" s="4">
        <v>1.907684</v>
      </c>
    </row>
    <row r="7">
      <c r="A7" s="1"/>
      <c r="B7" s="1" t="s">
        <v>13</v>
      </c>
      <c r="C7" s="4">
        <v>0.562</v>
      </c>
      <c r="D7" s="4">
        <v>0.031</v>
      </c>
      <c r="E7" s="4">
        <v>0.063</v>
      </c>
      <c r="F7" s="1"/>
      <c r="G7" s="4">
        <v>0.5</v>
      </c>
      <c r="H7" s="4">
        <v>0.063</v>
      </c>
      <c r="I7" s="1"/>
      <c r="J7" s="4">
        <v>148.603571428571</v>
      </c>
      <c r="K7" s="4">
        <v>2.801444</v>
      </c>
      <c r="L7" s="1"/>
      <c r="M7" s="4">
        <v>743.017857142857</v>
      </c>
      <c r="N7" s="4">
        <v>2.801444</v>
      </c>
    </row>
    <row r="8">
      <c r="A8" s="8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2">
        <v>46241.0</v>
      </c>
      <c r="B9" s="1" t="s">
        <v>8</v>
      </c>
      <c r="C9" s="4">
        <v>0.546</v>
      </c>
      <c r="D9" s="3">
        <v>0.018</v>
      </c>
      <c r="E9" s="4">
        <v>0.113</v>
      </c>
      <c r="F9" s="5"/>
      <c r="G9" s="4">
        <v>0.51</v>
      </c>
      <c r="H9" s="3">
        <v>0.113</v>
      </c>
      <c r="I9" s="1"/>
      <c r="J9" s="3">
        <v>151.6295</v>
      </c>
      <c r="K9" s="4">
        <v>5.035844</v>
      </c>
      <c r="L9" s="3">
        <v>5.0</v>
      </c>
      <c r="M9" s="4">
        <v>758.1475</v>
      </c>
      <c r="N9" s="4">
        <v>25.17922</v>
      </c>
    </row>
    <row r="10">
      <c r="A10" s="1"/>
      <c r="B10" s="1" t="s">
        <v>9</v>
      </c>
      <c r="C10" s="4">
        <v>0.502</v>
      </c>
      <c r="D10" s="4">
        <v>0.021</v>
      </c>
      <c r="E10" s="4">
        <v>0.105</v>
      </c>
      <c r="F10" s="1"/>
      <c r="G10" s="7">
        <v>0.46</v>
      </c>
      <c r="H10" s="4">
        <v>0.105</v>
      </c>
      <c r="I10" s="1"/>
      <c r="J10" s="4">
        <v>136.499857142857</v>
      </c>
      <c r="K10" s="4">
        <v>4.67834</v>
      </c>
      <c r="L10" s="1"/>
      <c r="M10" s="4">
        <v>682.499285714286</v>
      </c>
      <c r="N10" s="4">
        <v>23.3917</v>
      </c>
    </row>
    <row r="11">
      <c r="A11" s="1"/>
      <c r="B11" s="1" t="s">
        <v>10</v>
      </c>
      <c r="C11" s="4">
        <v>0.232</v>
      </c>
      <c r="D11" s="3">
        <v>0.072</v>
      </c>
      <c r="E11" s="4">
        <v>0.122</v>
      </c>
      <c r="F11" s="5"/>
      <c r="G11" s="4">
        <v>0.088</v>
      </c>
      <c r="H11" s="3">
        <v>0.122</v>
      </c>
      <c r="I11" s="1"/>
      <c r="J11" s="3">
        <v>23.9353142857143</v>
      </c>
      <c r="K11" s="4">
        <v>5.438036</v>
      </c>
      <c r="L11" s="5"/>
      <c r="M11" s="4">
        <v>23.9353142857143</v>
      </c>
      <c r="N11" s="4">
        <v>27.19018</v>
      </c>
    </row>
    <row r="12">
      <c r="A12" s="1"/>
      <c r="B12" s="1" t="s">
        <v>11</v>
      </c>
      <c r="C12" s="4">
        <v>0.233</v>
      </c>
      <c r="D12" s="4">
        <v>0.073</v>
      </c>
      <c r="E12" s="4">
        <v>0.122</v>
      </c>
      <c r="F12" s="1"/>
      <c r="G12" s="4">
        <v>0.087</v>
      </c>
      <c r="H12" s="4">
        <v>0.122</v>
      </c>
      <c r="I12" s="9"/>
      <c r="J12" s="4">
        <v>23.6327214285714</v>
      </c>
      <c r="K12" s="4">
        <v>5.438036</v>
      </c>
      <c r="L12" s="1"/>
      <c r="M12" s="4">
        <v>23.6327214285714</v>
      </c>
      <c r="N12" s="4">
        <v>27.19018</v>
      </c>
    </row>
    <row r="13">
      <c r="A13" s="1"/>
      <c r="B13" s="1" t="s">
        <v>12</v>
      </c>
      <c r="C13" s="4">
        <v>0.515</v>
      </c>
      <c r="D13" s="3">
        <v>0.019</v>
      </c>
      <c r="E13" s="4">
        <v>0.015</v>
      </c>
      <c r="F13" s="5"/>
      <c r="G13" s="4">
        <v>0.477</v>
      </c>
      <c r="H13" s="3">
        <v>0.015</v>
      </c>
      <c r="I13" s="9"/>
      <c r="J13" s="3">
        <v>141.643935714286</v>
      </c>
      <c r="K13" s="4">
        <v>0.65642</v>
      </c>
      <c r="L13" s="5"/>
      <c r="M13" s="4">
        <v>708.219678571429</v>
      </c>
      <c r="N13" s="4">
        <v>0.65642</v>
      </c>
    </row>
    <row r="14">
      <c r="A14" s="8"/>
      <c r="B14" s="1" t="s">
        <v>13</v>
      </c>
      <c r="C14" s="4">
        <v>0.504</v>
      </c>
      <c r="D14" s="4">
        <v>0.017</v>
      </c>
      <c r="E14" s="4">
        <v>0.017</v>
      </c>
      <c r="F14" s="1"/>
      <c r="G14" s="4">
        <v>0.47</v>
      </c>
      <c r="H14" s="4">
        <v>0.017</v>
      </c>
      <c r="I14" s="1"/>
      <c r="J14" s="4">
        <v>139.525785714286</v>
      </c>
      <c r="K14" s="4">
        <v>0.745796</v>
      </c>
      <c r="L14" s="1"/>
      <c r="M14" s="4">
        <v>697.628928571429</v>
      </c>
      <c r="N14" s="4">
        <v>0.745796</v>
      </c>
    </row>
    <row r="15">
      <c r="A15" s="8"/>
      <c r="B15" s="1"/>
      <c r="C15" s="5"/>
      <c r="D15" s="5"/>
      <c r="E15" s="1"/>
      <c r="F15" s="5"/>
      <c r="G15" s="1"/>
      <c r="H15" s="5"/>
      <c r="I15" s="1"/>
      <c r="J15" s="5"/>
      <c r="K15" s="10"/>
      <c r="L15" s="5"/>
    </row>
    <row r="16">
      <c r="A16" s="8"/>
      <c r="B16" s="1"/>
      <c r="C16" s="3"/>
      <c r="D16" s="3"/>
      <c r="E16" s="4"/>
      <c r="F16" s="3"/>
      <c r="G16" s="4"/>
      <c r="H16" s="3"/>
      <c r="I16" s="4"/>
      <c r="J16" s="3"/>
      <c r="K16" s="11"/>
      <c r="L16" s="3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0"/>
      <c r="L17" s="1"/>
    </row>
    <row r="18">
      <c r="A18" s="1"/>
      <c r="B18" s="1"/>
      <c r="C18" s="3"/>
      <c r="D18" s="3"/>
      <c r="E18" s="4"/>
      <c r="F18" s="3"/>
      <c r="G18" s="4"/>
      <c r="H18" s="3"/>
      <c r="I18" s="4"/>
      <c r="J18" s="3"/>
      <c r="K18" s="12"/>
      <c r="L18" s="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0"/>
      <c r="L19" s="1"/>
    </row>
    <row r="20">
      <c r="A20" s="1"/>
      <c r="B20" s="1"/>
      <c r="C20" s="4"/>
      <c r="D20" s="3"/>
      <c r="E20" s="6"/>
      <c r="F20" s="3"/>
      <c r="G20" s="4"/>
      <c r="H20" s="3"/>
      <c r="I20" s="4"/>
      <c r="J20" s="3"/>
      <c r="K20" s="11"/>
      <c r="L20" s="3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3"/>
      <c r="L21" s="1"/>
    </row>
    <row r="22">
      <c r="A22" s="8"/>
      <c r="B22" s="1"/>
      <c r="C22" s="4"/>
      <c r="D22" s="4"/>
      <c r="E22" s="4"/>
      <c r="F22" s="4"/>
      <c r="G22" s="4"/>
      <c r="H22" s="4"/>
      <c r="I22" s="4"/>
      <c r="J22" s="4"/>
      <c r="K22" s="11"/>
      <c r="L22" s="1"/>
    </row>
    <row r="23">
      <c r="A23" s="8"/>
      <c r="B23" s="1"/>
      <c r="C23" s="1"/>
      <c r="D23" s="5"/>
      <c r="E23" s="1"/>
      <c r="F23" s="5"/>
      <c r="G23" s="1"/>
      <c r="H23" s="5"/>
      <c r="I23" s="1"/>
      <c r="J23" s="5"/>
      <c r="K23" s="10"/>
      <c r="L23" s="3"/>
    </row>
    <row r="24">
      <c r="A24" s="1"/>
      <c r="B24" s="1"/>
      <c r="C24" s="4"/>
      <c r="D24" s="4"/>
      <c r="E24" s="4"/>
      <c r="F24" s="4"/>
      <c r="G24" s="4"/>
      <c r="H24" s="4"/>
      <c r="I24" s="4"/>
      <c r="J24" s="4"/>
      <c r="K24" s="11"/>
      <c r="L24" s="1"/>
    </row>
    <row r="25">
      <c r="A25" s="1"/>
      <c r="B25" s="1"/>
      <c r="C25" s="1"/>
      <c r="D25" s="5"/>
      <c r="E25" s="1"/>
      <c r="F25" s="5"/>
      <c r="G25" s="1"/>
      <c r="H25" s="5"/>
      <c r="I25" s="1"/>
      <c r="J25" s="5"/>
      <c r="K25" s="10"/>
      <c r="L25" s="3"/>
    </row>
    <row r="26">
      <c r="A26" s="2"/>
      <c r="B26" s="1"/>
      <c r="C26" s="4"/>
      <c r="D26" s="4"/>
      <c r="E26" s="4"/>
      <c r="F26" s="4"/>
      <c r="G26" s="4"/>
      <c r="H26" s="4"/>
      <c r="I26" s="4"/>
      <c r="J26" s="4"/>
      <c r="K26" s="11"/>
      <c r="L26" s="1"/>
    </row>
    <row r="27">
      <c r="A27" s="1"/>
      <c r="B27" s="1"/>
      <c r="C27" s="1"/>
      <c r="D27" s="5"/>
      <c r="E27" s="14"/>
      <c r="F27" s="5"/>
      <c r="G27" s="1"/>
      <c r="H27" s="5"/>
      <c r="I27" s="1"/>
      <c r="J27" s="5"/>
      <c r="K27" s="10"/>
      <c r="L27" s="3"/>
    </row>
    <row r="28">
      <c r="A28" s="1"/>
      <c r="B28" s="1"/>
      <c r="C28" s="4"/>
      <c r="D28" s="4"/>
      <c r="E28" s="4"/>
      <c r="F28" s="4"/>
      <c r="G28" s="4"/>
      <c r="H28" s="4"/>
      <c r="I28" s="4"/>
      <c r="J28" s="4"/>
      <c r="K28" s="11"/>
      <c r="L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0"/>
      <c r="L29" s="1"/>
    </row>
    <row r="30">
      <c r="A30" s="8"/>
      <c r="B30" s="1"/>
      <c r="C30" s="4"/>
      <c r="D30" s="3"/>
      <c r="E30" s="4"/>
      <c r="F30" s="3"/>
      <c r="G30" s="4"/>
      <c r="H30" s="3"/>
      <c r="I30" s="4"/>
      <c r="J30" s="3"/>
      <c r="K30" s="11"/>
      <c r="L30" s="3"/>
    </row>
    <row r="31">
      <c r="A31" s="1"/>
      <c r="B31" s="1"/>
      <c r="C31" s="1"/>
      <c r="D31" s="1"/>
      <c r="E31" s="1"/>
      <c r="F31" s="1"/>
      <c r="G31" s="9"/>
      <c r="H31" s="1"/>
      <c r="I31" s="9"/>
      <c r="J31" s="1"/>
      <c r="K31" s="10"/>
      <c r="L31" s="1"/>
    </row>
    <row r="32">
      <c r="A32" s="1"/>
      <c r="B32" s="1"/>
      <c r="C32" s="4"/>
      <c r="D32" s="3"/>
      <c r="E32" s="4"/>
      <c r="F32" s="3"/>
      <c r="G32" s="4"/>
      <c r="H32" s="3"/>
      <c r="I32" s="4"/>
      <c r="J32" s="3"/>
      <c r="K32" s="11"/>
      <c r="L32" s="3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0"/>
      <c r="L33" s="1"/>
    </row>
    <row r="34">
      <c r="A34" s="1"/>
      <c r="B34" s="1"/>
      <c r="C34" s="3"/>
      <c r="D34" s="3"/>
      <c r="E34" s="4"/>
      <c r="F34" s="3"/>
      <c r="G34" s="4"/>
      <c r="H34" s="3"/>
      <c r="I34" s="4"/>
      <c r="J34" s="3"/>
      <c r="K34" s="11"/>
      <c r="L34" s="3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0"/>
      <c r="L35" s="1"/>
    </row>
    <row r="36">
      <c r="A36" s="1"/>
      <c r="B36" s="1"/>
      <c r="C36" s="4"/>
      <c r="D36" s="4"/>
      <c r="E36" s="4"/>
      <c r="F36" s="4"/>
      <c r="G36" s="4"/>
      <c r="H36" s="4"/>
      <c r="I36" s="4"/>
      <c r="J36" s="4"/>
      <c r="K36" s="11"/>
    </row>
    <row r="37">
      <c r="A37" s="8"/>
      <c r="B37" s="1"/>
      <c r="C37" s="1"/>
      <c r="D37" s="1"/>
      <c r="E37" s="1"/>
      <c r="F37" s="1"/>
      <c r="G37" s="1"/>
      <c r="H37" s="1"/>
      <c r="I37" s="1"/>
      <c r="J37" s="1"/>
      <c r="K37" s="10"/>
    </row>
    <row r="38">
      <c r="A38" s="2"/>
      <c r="B38" s="1"/>
      <c r="C38" s="4"/>
      <c r="D38" s="4"/>
      <c r="E38" s="4"/>
      <c r="F38" s="4"/>
      <c r="G38" s="4"/>
      <c r="H38" s="4"/>
      <c r="I38" s="4"/>
      <c r="J38" s="4"/>
      <c r="K38" s="1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0"/>
    </row>
    <row r="40">
      <c r="A40" s="1"/>
      <c r="B40" s="1"/>
      <c r="C40" s="4"/>
      <c r="D40" s="4"/>
      <c r="E40" s="4"/>
      <c r="F40" s="4"/>
      <c r="G40" s="4"/>
      <c r="H40" s="4"/>
      <c r="I40" s="4"/>
      <c r="J40" s="4"/>
      <c r="K40" s="1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0"/>
    </row>
    <row r="42">
      <c r="A42" s="1"/>
      <c r="B42" s="1"/>
      <c r="C42" s="4"/>
      <c r="D42" s="4"/>
      <c r="E42" s="4"/>
      <c r="F42" s="4"/>
      <c r="G42" s="4"/>
      <c r="H42" s="4"/>
      <c r="I42" s="4"/>
      <c r="J42" s="4"/>
      <c r="K42" s="1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0"/>
    </row>
    <row r="44">
      <c r="A44" s="1"/>
      <c r="B44" s="1"/>
      <c r="C44" s="4"/>
      <c r="D44" s="4"/>
      <c r="E44" s="4"/>
      <c r="F44" s="4"/>
      <c r="G44" s="4"/>
      <c r="H44" s="4"/>
      <c r="I44" s="4"/>
      <c r="J44" s="4"/>
      <c r="K44" s="1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0"/>
    </row>
    <row r="46">
      <c r="A46" s="1"/>
      <c r="B46" s="1"/>
      <c r="C46" s="4"/>
      <c r="D46" s="4"/>
      <c r="E46" s="4"/>
      <c r="F46" s="4"/>
      <c r="G46" s="4"/>
      <c r="H46" s="4"/>
      <c r="I46" s="4"/>
      <c r="J46" s="4"/>
      <c r="K46" s="1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0"/>
    </row>
    <row r="48">
      <c r="A48" s="1"/>
      <c r="B48" s="1"/>
      <c r="C48" s="4"/>
      <c r="D48" s="4"/>
      <c r="E48" s="4"/>
      <c r="F48" s="4"/>
      <c r="G48" s="4"/>
      <c r="H48" s="4"/>
      <c r="I48" s="4"/>
      <c r="J48" s="4"/>
      <c r="K48" s="11"/>
    </row>
    <row r="49">
      <c r="A49" s="8"/>
      <c r="B49" s="1"/>
      <c r="C49" s="1"/>
      <c r="D49" s="1"/>
      <c r="E49" s="1"/>
      <c r="F49" s="1"/>
      <c r="G49" s="1"/>
      <c r="H49" s="1"/>
      <c r="I49" s="1"/>
      <c r="J49" s="1"/>
      <c r="K49" s="10"/>
    </row>
    <row r="50">
      <c r="A50" s="2"/>
      <c r="B50" s="1"/>
      <c r="C50" s="4"/>
      <c r="D50" s="4"/>
      <c r="E50" s="4"/>
      <c r="F50" s="4"/>
      <c r="G50" s="4"/>
      <c r="H50" s="4"/>
      <c r="I50" s="4"/>
      <c r="J50" s="4"/>
      <c r="K50" s="1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0"/>
    </row>
    <row r="52">
      <c r="A52" s="1"/>
      <c r="B52" s="1"/>
      <c r="C52" s="4"/>
      <c r="D52" s="4"/>
      <c r="E52" s="4"/>
      <c r="F52" s="4"/>
      <c r="G52" s="4"/>
      <c r="H52" s="4"/>
      <c r="I52" s="4"/>
      <c r="J52" s="4"/>
      <c r="K52" s="1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0"/>
    </row>
    <row r="54">
      <c r="A54" s="1"/>
      <c r="B54" s="1"/>
      <c r="C54" s="4"/>
      <c r="D54" s="4"/>
      <c r="E54" s="4"/>
      <c r="F54" s="4"/>
      <c r="G54" s="4"/>
      <c r="H54" s="4"/>
      <c r="I54" s="4"/>
      <c r="J54" s="4"/>
      <c r="K54" s="1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0"/>
    </row>
    <row r="56">
      <c r="A56" s="1"/>
      <c r="B56" s="1"/>
      <c r="C56" s="4"/>
      <c r="D56" s="4"/>
      <c r="E56" s="4"/>
      <c r="F56" s="4"/>
      <c r="G56" s="4"/>
      <c r="H56" s="4"/>
      <c r="I56" s="4"/>
      <c r="J56" s="4"/>
      <c r="K56" s="1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0"/>
    </row>
    <row r="58">
      <c r="A58" s="1"/>
      <c r="B58" s="1"/>
      <c r="C58" s="4"/>
      <c r="D58" s="4"/>
      <c r="E58" s="4"/>
      <c r="F58" s="4"/>
      <c r="G58" s="4"/>
      <c r="H58" s="4"/>
      <c r="I58" s="4"/>
      <c r="J58" s="4"/>
      <c r="K58" s="1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0"/>
    </row>
    <row r="60">
      <c r="A60" s="1"/>
      <c r="B60" s="1" t="s">
        <v>13</v>
      </c>
      <c r="C60" s="4">
        <v>35.0</v>
      </c>
      <c r="D60" s="4">
        <v>70.0</v>
      </c>
      <c r="E60" s="4">
        <v>125.0</v>
      </c>
      <c r="F60" s="4">
        <v>40.0</v>
      </c>
      <c r="G60" s="4">
        <v>80.0</v>
      </c>
      <c r="H60" s="4">
        <f>AVERAGE(C60:G60)</f>
        <v>70</v>
      </c>
      <c r="I60" s="4">
        <f>H60*1000</f>
        <v>70000</v>
      </c>
      <c r="J60" s="4">
        <v>614204.46054012</v>
      </c>
      <c r="K60" s="11">
        <f>SUM(I60:J60)</f>
        <v>684204.4605</v>
      </c>
    </row>
  </sheetData>
  <drawing r:id="rId1"/>
</worksheet>
</file>