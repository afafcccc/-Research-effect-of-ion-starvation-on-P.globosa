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<sst xmlns="http://schemas.openxmlformats.org/spreadsheetml/2006/main" count="46" uniqueCount="22">
  <si>
    <t>date</t>
  </si>
  <si>
    <t>sample</t>
  </si>
  <si>
    <t>a1</t>
  </si>
  <si>
    <t>a2</t>
  </si>
  <si>
    <t>a3</t>
  </si>
  <si>
    <t>a4</t>
  </si>
  <si>
    <t>a5</t>
  </si>
  <si>
    <t>average</t>
  </si>
  <si>
    <t>cells/mL</t>
  </si>
  <si>
    <t>囊细胞</t>
  </si>
  <si>
    <t>总cells/mL</t>
  </si>
  <si>
    <t>CC-1</t>
  </si>
  <si>
    <t>day0</t>
  </si>
  <si>
    <t>CC-2</t>
  </si>
  <si>
    <t>CNS-1</t>
  </si>
  <si>
    <t>CNS-2</t>
  </si>
  <si>
    <t>CPS-1</t>
  </si>
  <si>
    <t>CPS-2</t>
  </si>
  <si>
    <t>day1</t>
  </si>
  <si>
    <t>day2</t>
  </si>
  <si>
    <t>day3</t>
  </si>
  <si>
    <t>day4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</si>
</sst>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"/>
    <numFmt numFmtId="166" formatCode="0.0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2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2" fontId="1" numFmtId="2" xfId="0" applyAlignment="1" applyFill="1" applyFont="1" applyNumberFormat="1">
      <alignment horizontal="right" vertical="bottom"/>
    </xf>
    <xf borderId="0" fillId="0" fontId="1" numFmtId="2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2" fontId="1" numFmtId="0" xfId="0" applyAlignment="1" applyFill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166" xfId="0" applyAlignment="1" applyFont="1" applyNumberFormat="1">
      <alignment horizontal="right" vertical="bottom"/>
    </xf>
    <xf borderId="0" fillId="2" fontId="1" numFmtId="166" xfId="0" applyAlignment="1" applyFill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2" fontId="1" numFmtId="2" xfId="0" applyAlignment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/>
    </row>
    <row r="2">
      <c r="A2" s="3">
        <v>46237.0</v>
      </c>
      <c r="B2" s="1" t="s">
        <v>11</v>
      </c>
      <c r="C2" s="4">
        <v>20.0</v>
      </c>
      <c r="D2" s="4">
        <v>38.0</v>
      </c>
      <c r="E2" s="5">
        <v>20.0</v>
      </c>
      <c r="F2" s="4">
        <v>23.0</v>
      </c>
      <c r="G2" s="5">
        <v>25.0</v>
      </c>
      <c r="H2" s="4">
        <v>25.2</v>
      </c>
      <c r="I2" s="5">
        <f>H2*1000</f>
        <v>25200</v>
      </c>
      <c r="J2" s="4">
        <v>69741.00618</v>
      </c>
      <c r="K2" s="6">
        <f>SUM(I2:J2)</f>
        <v>94941.00618</v>
      </c>
      <c r="L2" s="4"/>
    </row>
    <row r="3">
      <c r="A3" s="1" t="s">
        <v>12</v>
      </c>
      <c r="B3" s="1"/>
      <c r="C3" s="7"/>
      <c r="D3" s="7"/>
      <c r="E3" s="8"/>
      <c r="F3" s="7"/>
      <c r="G3" s="9"/>
      <c r="H3" s="7"/>
      <c r="I3" s="1"/>
      <c r="J3" s="7"/>
      <c r="K3" s="2"/>
      <c r="L3" s="7"/>
    </row>
    <row r="4">
      <c r="A4" s="1"/>
      <c r="B4" s="1" t="s">
        <v>13</v>
      </c>
      <c r="C4" s="5">
        <v>14.0</v>
      </c>
      <c r="D4" s="4">
        <v>30.0</v>
      </c>
      <c r="E4" s="5">
        <v>13.0</v>
      </c>
      <c r="F4" s="4">
        <v>23.0</v>
      </c>
      <c r="G4" s="5">
        <v>21.0</v>
      </c>
      <c r="H4" s="4">
        <f>AVERAGE(C4:G4)</f>
        <v>20.2</v>
      </c>
      <c r="I4" s="5">
        <f>H4*1000</f>
        <v>20200</v>
      </c>
      <c r="J4" s="4">
        <v>39349.47947</v>
      </c>
      <c r="K4" s="10">
        <f>SUM(I4:J4)</f>
        <v>59549.47947</v>
      </c>
      <c r="L4" s="4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2"/>
      <c r="L5" s="1"/>
    </row>
    <row r="6">
      <c r="A6" s="1"/>
      <c r="B6" s="1" t="s">
        <v>14</v>
      </c>
      <c r="C6" s="5">
        <v>35.0</v>
      </c>
      <c r="D6" s="4">
        <v>34.0</v>
      </c>
      <c r="E6" s="5">
        <v>42.0</v>
      </c>
      <c r="F6" s="4">
        <v>36.0</v>
      </c>
      <c r="G6" s="5">
        <v>35.0</v>
      </c>
      <c r="H6" s="4">
        <f>AVERAGE(C6:G6)</f>
        <v>36.4</v>
      </c>
      <c r="I6" s="5">
        <f>H6*1000</f>
        <v>36400</v>
      </c>
      <c r="J6" s="4">
        <v>23635.89041</v>
      </c>
      <c r="K6" s="10">
        <f>SUM(I6:J6)</f>
        <v>60035.89041</v>
      </c>
      <c r="L6" s="4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2"/>
      <c r="L7" s="1"/>
    </row>
    <row r="8">
      <c r="A8" s="11"/>
      <c r="B8" s="1" t="s">
        <v>15</v>
      </c>
      <c r="C8" s="5">
        <v>12.0</v>
      </c>
      <c r="D8" s="5">
        <v>15.0</v>
      </c>
      <c r="E8" s="5">
        <v>21.0</v>
      </c>
      <c r="F8" s="5">
        <v>15.0</v>
      </c>
      <c r="G8" s="5">
        <v>28.0</v>
      </c>
      <c r="H8" s="5">
        <v>18.2</v>
      </c>
      <c r="I8" s="5">
        <f>H8*1000</f>
        <v>18200</v>
      </c>
      <c r="J8" s="5">
        <v>66177.08911</v>
      </c>
      <c r="K8" s="10">
        <f>SUM(I8:J8)</f>
        <v>84377.08911</v>
      </c>
      <c r="L8" s="1"/>
    </row>
    <row r="9">
      <c r="A9" s="11"/>
      <c r="B9" s="1"/>
      <c r="C9" s="1"/>
      <c r="D9" s="7"/>
      <c r="E9" s="1"/>
      <c r="F9" s="7"/>
      <c r="G9" s="1"/>
      <c r="H9" s="7"/>
      <c r="I9" s="1"/>
      <c r="J9" s="7"/>
      <c r="K9" s="2"/>
      <c r="L9" s="4"/>
    </row>
    <row r="10">
      <c r="A10" s="1"/>
      <c r="B10" s="1" t="s">
        <v>16</v>
      </c>
      <c r="C10" s="5">
        <v>4.0</v>
      </c>
      <c r="D10" s="5">
        <v>14.0</v>
      </c>
      <c r="E10" s="5">
        <v>15.0</v>
      </c>
      <c r="F10" s="5">
        <v>16.0</v>
      </c>
      <c r="G10" s="12">
        <v>17.0</v>
      </c>
      <c r="H10" s="5">
        <f>AVERAGE(C10:G10)</f>
        <v>13.2</v>
      </c>
      <c r="I10" s="5">
        <f>H10*1000</f>
        <v>13200</v>
      </c>
      <c r="J10" s="5">
        <v>24461.87158</v>
      </c>
      <c r="K10" s="10">
        <f>SUM(I10:J10)</f>
        <v>37661.87158</v>
      </c>
      <c r="L10" s="1"/>
    </row>
    <row r="11">
      <c r="A11" s="1"/>
      <c r="B11" s="1"/>
      <c r="C11" s="1"/>
      <c r="D11" s="7"/>
      <c r="E11" s="1"/>
      <c r="F11" s="7"/>
      <c r="G11" s="1"/>
      <c r="H11" s="7"/>
      <c r="I11" s="1"/>
      <c r="J11" s="7"/>
      <c r="K11" s="2"/>
      <c r="L11" s="4"/>
    </row>
    <row r="12">
      <c r="A12" s="1"/>
      <c r="B12" s="1" t="s">
        <v>17</v>
      </c>
      <c r="C12" s="5">
        <v>21.0</v>
      </c>
      <c r="D12" s="5">
        <v>26.0</v>
      </c>
      <c r="E12" s="5">
        <v>21.0</v>
      </c>
      <c r="F12" s="5">
        <v>17.0</v>
      </c>
      <c r="G12" s="5">
        <v>21.0</v>
      </c>
      <c r="H12" s="5">
        <f>AVERAGE(C12:G12)</f>
        <v>21.2</v>
      </c>
      <c r="I12" s="12">
        <f>H12*1000</f>
        <v>21200</v>
      </c>
      <c r="J12" s="5">
        <v>185752.4687</v>
      </c>
      <c r="K12" s="13">
        <f>SUM(I12:J12)</f>
        <v>206952.4687</v>
      </c>
      <c r="L12" s="1"/>
    </row>
    <row r="13">
      <c r="A13" s="1"/>
      <c r="B13" s="1"/>
      <c r="C13" s="1"/>
      <c r="D13" s="7"/>
      <c r="E13" s="1"/>
      <c r="F13" s="7"/>
      <c r="G13" s="1"/>
      <c r="H13" s="7"/>
      <c r="I13" s="9"/>
      <c r="J13" s="7"/>
      <c r="K13" s="2"/>
      <c r="L13" s="4"/>
    </row>
    <row r="14">
      <c r="A14" s="3">
        <v>46238.0</v>
      </c>
      <c r="B14" s="1" t="s">
        <v>11</v>
      </c>
      <c r="C14" s="5">
        <v>14.0</v>
      </c>
      <c r="D14" s="5">
        <v>18.0</v>
      </c>
      <c r="E14" s="5">
        <v>34.0</v>
      </c>
      <c r="F14" s="5">
        <v>25.0</v>
      </c>
      <c r="G14" s="5">
        <v>24.0</v>
      </c>
      <c r="H14" s="5">
        <f>AVERAGE(C14:G14)</f>
        <v>23</v>
      </c>
      <c r="I14" s="5">
        <f>H14*1000</f>
        <v>23000</v>
      </c>
      <c r="J14" s="5">
        <v>59480.43196</v>
      </c>
      <c r="K14" s="10">
        <f>SUM(I14:J14)</f>
        <v>82480.43196</v>
      </c>
      <c r="L14" s="1"/>
    </row>
    <row r="15">
      <c r="A15" s="11" t="s">
        <v>18</v>
      </c>
      <c r="B15" s="1"/>
      <c r="C15" s="7"/>
      <c r="D15" s="7"/>
      <c r="E15" s="1"/>
      <c r="F15" s="7"/>
      <c r="G15" s="1"/>
      <c r="H15" s="7"/>
      <c r="I15" s="1"/>
      <c r="J15" s="7"/>
      <c r="K15" s="2"/>
      <c r="L15" s="7"/>
    </row>
    <row r="16">
      <c r="A16" s="11"/>
      <c r="B16" s="1" t="s">
        <v>13</v>
      </c>
      <c r="C16" s="4">
        <v>44.0</v>
      </c>
      <c r="D16" s="4">
        <v>34.0</v>
      </c>
      <c r="E16" s="5">
        <v>34.0</v>
      </c>
      <c r="F16" s="4">
        <v>39.0</v>
      </c>
      <c r="G16" s="5">
        <v>39.0</v>
      </c>
      <c r="H16" s="4">
        <f>AVERAGE(C16:G16)</f>
        <v>38</v>
      </c>
      <c r="I16" s="5">
        <f>H16*1000</f>
        <v>38000</v>
      </c>
      <c r="J16" s="4">
        <v>94025.63162</v>
      </c>
      <c r="K16" s="10">
        <f>SUM(I16:J16)</f>
        <v>132025.6316</v>
      </c>
      <c r="L16" s="4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2"/>
      <c r="L17" s="1"/>
    </row>
    <row r="18">
      <c r="A18" s="1"/>
      <c r="B18" s="1" t="s">
        <v>14</v>
      </c>
      <c r="C18" s="4">
        <v>13.0</v>
      </c>
      <c r="D18" s="4">
        <v>32.0</v>
      </c>
      <c r="E18" s="5">
        <v>29.0</v>
      </c>
      <c r="F18" s="4">
        <v>28.0</v>
      </c>
      <c r="G18" s="5">
        <v>17.0</v>
      </c>
      <c r="H18" s="4">
        <f>AVERAGE(C18:G18)</f>
        <v>23.8</v>
      </c>
      <c r="I18" s="5">
        <f>H18*1000</f>
        <v>23800</v>
      </c>
      <c r="J18" s="4">
        <v>92770.49112</v>
      </c>
      <c r="K18" s="6">
        <f>SUM(I18:J18)</f>
        <v>116570.4911</v>
      </c>
      <c r="L18" s="4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2"/>
      <c r="L19" s="1"/>
    </row>
    <row r="20">
      <c r="A20" s="1"/>
      <c r="B20" s="1" t="s">
        <v>15</v>
      </c>
      <c r="C20" s="5">
        <v>31.0</v>
      </c>
      <c r="D20" s="4">
        <v>21.0</v>
      </c>
      <c r="E20" s="14">
        <v>28.0</v>
      </c>
      <c r="F20" s="4">
        <v>21.0</v>
      </c>
      <c r="G20" s="5">
        <v>27.0</v>
      </c>
      <c r="H20" s="4">
        <f>AVERAGE(C20:G20)</f>
        <v>25.6</v>
      </c>
      <c r="I20" s="5">
        <f>H20*1000</f>
        <v>25600</v>
      </c>
      <c r="J20" s="4">
        <v>18563.28476</v>
      </c>
      <c r="K20" s="10">
        <f>SUM(I20:J20)</f>
        <v>44163.28476</v>
      </c>
      <c r="L20" s="4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5"/>
      <c r="L21" s="1"/>
    </row>
    <row r="22">
      <c r="A22" s="11"/>
      <c r="B22" s="1" t="s">
        <v>16</v>
      </c>
      <c r="C22" s="5">
        <v>30.0</v>
      </c>
      <c r="D22" s="5">
        <v>46.0</v>
      </c>
      <c r="E22" s="5">
        <v>53.0</v>
      </c>
      <c r="F22" s="5">
        <v>20.0</v>
      </c>
      <c r="G22" s="5">
        <v>43.0</v>
      </c>
      <c r="H22" s="5">
        <f>AVERAGE(C22:G22)</f>
        <v>38.4</v>
      </c>
      <c r="I22" s="5">
        <f>H22*1000</f>
        <v>38400</v>
      </c>
      <c r="J22" s="5">
        <v>29593.50866</v>
      </c>
      <c r="K22" s="10">
        <f>SUM(I22:J22)</f>
        <v>67993.50866</v>
      </c>
      <c r="L22" s="1"/>
    </row>
    <row r="23">
      <c r="A23" s="11"/>
      <c r="B23" s="1"/>
      <c r="C23" s="1"/>
      <c r="D23" s="7"/>
      <c r="E23" s="1"/>
      <c r="F23" s="7"/>
      <c r="G23" s="1"/>
      <c r="H23" s="7"/>
      <c r="I23" s="1"/>
      <c r="J23" s="7"/>
      <c r="K23" s="2"/>
      <c r="L23" s="4"/>
    </row>
    <row r="24">
      <c r="A24" s="1"/>
      <c r="B24" s="1" t="s">
        <v>17</v>
      </c>
      <c r="C24" s="5">
        <v>32.0</v>
      </c>
      <c r="D24" s="5">
        <v>52.0</v>
      </c>
      <c r="E24" s="5">
        <v>18.0</v>
      </c>
      <c r="F24" s="5">
        <v>9.0</v>
      </c>
      <c r="G24" s="5">
        <v>27.0</v>
      </c>
      <c r="H24" s="5">
        <f>AVERAGE(C24:G24)</f>
        <v>27.6</v>
      </c>
      <c r="I24" s="5">
        <f>H24*1000</f>
        <v>27600</v>
      </c>
      <c r="J24" s="5">
        <v>30753.63606</v>
      </c>
      <c r="K24" s="10">
        <f>SUM(I24:J24)</f>
        <v>58353.63606</v>
      </c>
      <c r="L24" s="1"/>
    </row>
    <row r="25">
      <c r="A25" s="1"/>
      <c r="B25" s="1"/>
      <c r="C25" s="1"/>
      <c r="D25" s="7"/>
      <c r="E25" s="1"/>
      <c r="F25" s="7"/>
      <c r="G25" s="1"/>
      <c r="H25" s="7"/>
      <c r="I25" s="1"/>
      <c r="J25" s="7"/>
      <c r="K25" s="2"/>
      <c r="L25" s="4"/>
    </row>
    <row r="26">
      <c r="A26" s="3">
        <v>46239.0</v>
      </c>
      <c r="B26" s="1" t="s">
        <v>11</v>
      </c>
      <c r="C26" s="5">
        <v>51.0</v>
      </c>
      <c r="D26" s="5">
        <v>35.0</v>
      </c>
      <c r="E26" s="5">
        <v>55.0</v>
      </c>
      <c r="F26" s="5">
        <v>46.0</v>
      </c>
      <c r="G26" s="5">
        <v>41.0</v>
      </c>
      <c r="H26" s="5">
        <f>AVERAGE(C26:G26)</f>
        <v>45.6</v>
      </c>
      <c r="I26" s="5">
        <f>H26*1000</f>
        <v>45600</v>
      </c>
      <c r="J26" s="5">
        <v>247133.916</v>
      </c>
      <c r="K26" s="10">
        <f>SUM(I26:J26)</f>
        <v>292733.916</v>
      </c>
      <c r="L26" s="1"/>
    </row>
    <row r="27">
      <c r="A27" s="1" t="s">
        <v>19</v>
      </c>
      <c r="B27" s="1"/>
      <c r="C27" s="1"/>
      <c r="D27" s="7"/>
      <c r="E27" s="8"/>
      <c r="F27" s="7"/>
      <c r="G27" s="1"/>
      <c r="H27" s="7"/>
      <c r="I27" s="1"/>
      <c r="J27" s="7"/>
      <c r="K27" s="2"/>
      <c r="L27" s="4"/>
    </row>
    <row r="28">
      <c r="A28" s="1"/>
      <c r="B28" s="1" t="s">
        <v>13</v>
      </c>
      <c r="C28" s="5">
        <v>25.0</v>
      </c>
      <c r="D28" s="5">
        <v>29.0</v>
      </c>
      <c r="E28" s="5">
        <v>51.0</v>
      </c>
      <c r="F28" s="5">
        <v>33.0</v>
      </c>
      <c r="G28" s="5">
        <v>36.0</v>
      </c>
      <c r="H28" s="5">
        <f>AVERAGE(C28:G28)</f>
        <v>34.8</v>
      </c>
      <c r="I28" s="5">
        <f>H28*1000</f>
        <v>34800</v>
      </c>
      <c r="J28" s="5">
        <v>258049.7831</v>
      </c>
      <c r="K28" s="10">
        <f>SUM(I28:J28)</f>
        <v>292849.7831</v>
      </c>
      <c r="L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2"/>
      <c r="L29" s="1"/>
    </row>
    <row r="30">
      <c r="A30" s="11"/>
      <c r="B30" s="1" t="s">
        <v>14</v>
      </c>
      <c r="C30" s="5">
        <v>32.0</v>
      </c>
      <c r="D30" s="4">
        <v>65.0</v>
      </c>
      <c r="E30" s="5">
        <v>66.0</v>
      </c>
      <c r="F30" s="4">
        <v>22.0</v>
      </c>
      <c r="G30" s="5">
        <v>47.0</v>
      </c>
      <c r="H30" s="4">
        <f>AVERAGE(C30:G30)</f>
        <v>46.4</v>
      </c>
      <c r="I30" s="5">
        <f>H30*1000</f>
        <v>46400</v>
      </c>
      <c r="J30" s="4">
        <v>253148.9284</v>
      </c>
      <c r="K30" s="10">
        <f>SUM(I30:J30)</f>
        <v>299548.9284</v>
      </c>
      <c r="L30" s="4"/>
    </row>
    <row r="31">
      <c r="A31" s="1"/>
      <c r="B31" s="1"/>
      <c r="C31" s="1"/>
      <c r="D31" s="1"/>
      <c r="E31" s="1"/>
      <c r="F31" s="1"/>
      <c r="G31" s="9"/>
      <c r="H31" s="1"/>
      <c r="I31" s="9"/>
      <c r="J31" s="1"/>
      <c r="K31" s="2"/>
      <c r="L31" s="1"/>
    </row>
    <row r="32">
      <c r="A32" s="1"/>
      <c r="B32" s="1" t="s">
        <v>15</v>
      </c>
      <c r="C32" s="5">
        <v>50.0</v>
      </c>
      <c r="D32" s="4">
        <v>73.0</v>
      </c>
      <c r="E32" s="5">
        <v>59.0</v>
      </c>
      <c r="F32" s="4">
        <v>33.0</v>
      </c>
      <c r="G32" s="5">
        <v>60.0</v>
      </c>
      <c r="H32" s="4">
        <f>AVERAGE(C32:G32)</f>
        <v>55</v>
      </c>
      <c r="I32" s="5">
        <f>H32*1000</f>
        <v>55000</v>
      </c>
      <c r="J32" s="4">
        <v>49894.97518</v>
      </c>
      <c r="K32" s="10">
        <f>SUM(I32:J32)</f>
        <v>104894.9752</v>
      </c>
      <c r="L32" s="4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  <c r="L33" s="1"/>
    </row>
    <row r="34">
      <c r="A34" s="1"/>
      <c r="B34" s="1" t="s">
        <v>16</v>
      </c>
      <c r="C34" s="4">
        <v>50.0</v>
      </c>
      <c r="D34" s="4">
        <v>52.0</v>
      </c>
      <c r="E34" s="5">
        <v>41.0</v>
      </c>
      <c r="F34" s="4">
        <v>34.0</v>
      </c>
      <c r="G34" s="5">
        <v>26.0</v>
      </c>
      <c r="H34" s="4">
        <f>AVERAGE(C34:G34)</f>
        <v>40.6</v>
      </c>
      <c r="I34" s="5">
        <f>H34*1000</f>
        <v>40600</v>
      </c>
      <c r="J34" s="4">
        <v>75047.58416</v>
      </c>
      <c r="K34" s="10">
        <f>SUM(I34:J34)</f>
        <v>115647.5842</v>
      </c>
      <c r="L34" s="4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2"/>
      <c r="L35" s="1"/>
    </row>
    <row r="36">
      <c r="A36" s="1"/>
      <c r="B36" s="1" t="s">
        <v>17</v>
      </c>
      <c r="C36" s="5">
        <v>32.0</v>
      </c>
      <c r="D36" s="5">
        <v>59.0</v>
      </c>
      <c r="E36" s="5">
        <v>90.0</v>
      </c>
      <c r="F36" s="5">
        <v>99.0</v>
      </c>
      <c r="G36" s="5">
        <v>51.0</v>
      </c>
      <c r="H36" s="5">
        <f>AVERAGE(C36:G36)</f>
        <v>66.2</v>
      </c>
      <c r="I36" s="5">
        <f>H36*1000</f>
        <v>66200</v>
      </c>
      <c r="J36" s="5">
        <v>115101.6719</v>
      </c>
      <c r="K36" s="10">
        <f>SUM(I36:J36)</f>
        <v>181301.6719</v>
      </c>
    </row>
    <row r="37">
      <c r="A37" s="11"/>
      <c r="B37" s="1"/>
      <c r="C37" s="1"/>
      <c r="D37" s="1"/>
      <c r="E37" s="1"/>
      <c r="F37" s="1"/>
      <c r="G37" s="1"/>
      <c r="H37" s="1"/>
      <c r="I37" s="1"/>
      <c r="J37" s="1"/>
      <c r="K37" s="2"/>
    </row>
    <row r="38">
      <c r="A38" s="3">
        <v>46240.0</v>
      </c>
      <c r="B38" s="1" t="s">
        <v>11</v>
      </c>
      <c r="C38" s="5">
        <v>102.0</v>
      </c>
      <c r="D38" s="5">
        <v>169.0</v>
      </c>
      <c r="E38" s="5">
        <v>124.0</v>
      </c>
      <c r="F38" s="5">
        <v>81.0</v>
      </c>
      <c r="G38" s="5">
        <v>79.0</v>
      </c>
      <c r="H38" s="5">
        <f>AVERAGE(C38:G38)</f>
        <v>111</v>
      </c>
      <c r="I38" s="5">
        <f>H38*1000</f>
        <v>111000</v>
      </c>
      <c r="J38" s="5">
        <v>523188.93333335017</v>
      </c>
      <c r="K38" s="10">
        <f>SUM(I38:J38)</f>
        <v>634188.9333</v>
      </c>
    </row>
    <row r="39">
      <c r="A39" s="1" t="s">
        <v>20</v>
      </c>
      <c r="B39" s="1"/>
      <c r="C39" s="1"/>
      <c r="D39" s="1"/>
      <c r="E39" s="1"/>
      <c r="F39" s="1"/>
      <c r="G39" s="1"/>
      <c r="H39" s="1"/>
      <c r="I39" s="1"/>
      <c r="J39" s="1"/>
      <c r="K39" s="2"/>
    </row>
    <row r="40">
      <c r="A40" s="1"/>
      <c r="B40" s="1" t="s">
        <v>13</v>
      </c>
      <c r="C40" s="5">
        <v>55.0</v>
      </c>
      <c r="D40" s="5">
        <v>47.0</v>
      </c>
      <c r="E40" s="5">
        <v>53.0</v>
      </c>
      <c r="F40" s="5">
        <v>111.0</v>
      </c>
      <c r="G40" s="5">
        <v>63.0</v>
      </c>
      <c r="H40" s="5">
        <f>AVERAGE(C40:G40)</f>
        <v>65.8</v>
      </c>
      <c r="I40" s="5">
        <f>H40*1000</f>
        <v>65800</v>
      </c>
      <c r="J40" s="5">
        <v>2060944.0462212865</v>
      </c>
      <c r="K40" s="10">
        <f>SUM(I40:J40)</f>
        <v>2126744.046</v>
      </c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</row>
    <row r="42">
      <c r="A42" s="1"/>
      <c r="B42" s="1" t="s">
        <v>14</v>
      </c>
      <c r="C42" s="5">
        <v>45.0</v>
      </c>
      <c r="D42" s="5">
        <v>25.0</v>
      </c>
      <c r="E42" s="5">
        <v>46.0</v>
      </c>
      <c r="F42" s="5">
        <v>45.0</v>
      </c>
      <c r="G42" s="5">
        <v>93.0</v>
      </c>
      <c r="H42" s="5">
        <f>AVERAGE(C42:G42)</f>
        <v>50.8</v>
      </c>
      <c r="I42" s="5">
        <f>H42*1000</f>
        <v>50800</v>
      </c>
      <c r="J42" s="5">
        <v>1332747.9267181181</v>
      </c>
      <c r="K42" s="10">
        <f>SUM(I42:J42)</f>
        <v>1383547.927</v>
      </c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2"/>
    </row>
    <row r="44">
      <c r="A44" s="1"/>
      <c r="B44" s="1" t="s">
        <v>15</v>
      </c>
      <c r="C44" s="5">
        <v>103.0</v>
      </c>
      <c r="D44" s="5">
        <v>14.0</v>
      </c>
      <c r="E44" s="5">
        <v>103.0</v>
      </c>
      <c r="F44" s="5">
        <v>153.0</v>
      </c>
      <c r="G44" s="5">
        <v>83.0</v>
      </c>
      <c r="H44" s="5">
        <f>AVERAGE(C44:G44)</f>
        <v>91.2</v>
      </c>
      <c r="I44" s="5">
        <f>H44*1000</f>
        <v>91200</v>
      </c>
      <c r="J44" s="5">
        <v>806406.9885089064</v>
      </c>
      <c r="K44" s="10">
        <f>SUM(I44:J44)</f>
        <v>897606.9885</v>
      </c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2"/>
    </row>
    <row r="46">
      <c r="A46" s="1"/>
      <c r="B46" s="1" t="s">
        <v>16</v>
      </c>
      <c r="C46" s="5">
        <v>9.0</v>
      </c>
      <c r="D46" s="5">
        <v>20.0</v>
      </c>
      <c r="E46" s="5">
        <v>18.0</v>
      </c>
      <c r="F46" s="5">
        <v>6.0</v>
      </c>
      <c r="G46" s="5">
        <v>19.0</v>
      </c>
      <c r="H46" s="5">
        <f>AVERAGE(C46:G46)</f>
        <v>14.4</v>
      </c>
      <c r="I46" s="5">
        <f>H46*1000</f>
        <v>14400</v>
      </c>
      <c r="J46" s="5">
        <v>191246.1661212234</v>
      </c>
      <c r="K46" s="10">
        <f>SUM(I46:J46)</f>
        <v>205646.1661</v>
      </c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2"/>
    </row>
    <row r="48">
      <c r="A48" s="1"/>
      <c r="B48" s="1" t="s">
        <v>17</v>
      </c>
      <c r="C48" s="5">
        <v>65.0</v>
      </c>
      <c r="D48" s="5">
        <v>94.0</v>
      </c>
      <c r="E48" s="5">
        <v>64.0</v>
      </c>
      <c r="F48" s="5">
        <v>40.0</v>
      </c>
      <c r="G48" s="5">
        <v>48.0</v>
      </c>
      <c r="H48" s="5">
        <f>AVERAGE(C48:G48)</f>
        <v>62.2</v>
      </c>
      <c r="I48" s="5">
        <f>H48*1000</f>
        <v>62200</v>
      </c>
      <c r="J48" s="5">
        <v>446466.4879538081</v>
      </c>
      <c r="K48" s="10">
        <f>SUM(I48:J48)</f>
        <v>508666.488</v>
      </c>
    </row>
    <row r="49">
      <c r="A49" s="11"/>
      <c r="B49" s="1"/>
      <c r="C49" s="1"/>
      <c r="D49" s="1"/>
      <c r="E49" s="1"/>
      <c r="F49" s="1"/>
      <c r="G49" s="1"/>
      <c r="H49" s="1"/>
      <c r="I49" s="1"/>
      <c r="J49" s="1"/>
      <c r="K49" s="2"/>
    </row>
    <row r="50">
      <c r="A50" s="3">
        <v>46241.0</v>
      </c>
      <c r="B50" s="1" t="s">
        <v>11</v>
      </c>
      <c r="C50" s="5">
        <v>102.0</v>
      </c>
      <c r="D50" s="5">
        <v>191.0</v>
      </c>
      <c r="E50" s="5">
        <v>205.0</v>
      </c>
      <c r="F50" s="5">
        <v>171.0</v>
      </c>
      <c r="G50" s="5">
        <v>214.0</v>
      </c>
      <c r="H50" s="5">
        <f>AVERAGE(C50:G50)</f>
        <v>176.6</v>
      </c>
      <c r="I50" s="5">
        <f>H50*1000</f>
        <v>176600</v>
      </c>
      <c r="J50" s="5">
        <v>733878.7831973365</v>
      </c>
      <c r="K50" s="10">
        <f>SUM(I50:J50)</f>
        <v>910478.7832</v>
      </c>
    </row>
    <row r="51">
      <c r="A51" s="1" t="s">
        <v>21</v>
      </c>
      <c r="B51" s="1"/>
      <c r="C51" s="1"/>
      <c r="D51" s="1"/>
      <c r="E51" s="1"/>
      <c r="F51" s="1"/>
      <c r="G51" s="1"/>
      <c r="H51" s="1"/>
      <c r="I51" s="1"/>
      <c r="J51" s="1"/>
      <c r="K51" s="2"/>
    </row>
    <row r="52">
      <c r="A52" s="1"/>
      <c r="B52" s="1" t="s">
        <v>13</v>
      </c>
      <c r="C52" s="5">
        <v>52.0</v>
      </c>
      <c r="D52" s="5">
        <v>132.0</v>
      </c>
      <c r="E52" s="5">
        <v>111.0</v>
      </c>
      <c r="F52" s="5">
        <v>137.0</v>
      </c>
      <c r="G52" s="5">
        <v>155.0</v>
      </c>
      <c r="H52" s="5">
        <f>AVERAGE(C52:G52)</f>
        <v>117.4</v>
      </c>
      <c r="I52" s="5">
        <f>H52*1000</f>
        <v>117400</v>
      </c>
      <c r="J52" s="5">
        <v>452263.0059996092</v>
      </c>
      <c r="K52" s="10">
        <f>SUM(I52:J52)</f>
        <v>569663.006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2"/>
    </row>
    <row r="54">
      <c r="A54" s="1"/>
      <c r="B54" s="1" t="s">
        <v>14</v>
      </c>
      <c r="C54" s="5">
        <v>184.0</v>
      </c>
      <c r="D54" s="5">
        <v>187.0</v>
      </c>
      <c r="E54" s="5">
        <v>148.0</v>
      </c>
      <c r="F54" s="5">
        <v>150.0</v>
      </c>
      <c r="G54" s="5">
        <v>205.0</v>
      </c>
      <c r="H54" s="5">
        <f>AVERAGE(C54:G54)</f>
        <v>174.8</v>
      </c>
      <c r="I54" s="5">
        <f>H54*1000</f>
        <v>174800</v>
      </c>
      <c r="J54" s="5">
        <v>578424.606730733</v>
      </c>
      <c r="K54" s="10">
        <f>SUM(I54:J54)</f>
        <v>753224.6067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2"/>
    </row>
    <row r="56">
      <c r="A56" s="1"/>
      <c r="B56" s="1" t="s">
        <v>15</v>
      </c>
      <c r="C56" s="5">
        <v>45.0</v>
      </c>
      <c r="D56" s="5">
        <v>50.0</v>
      </c>
      <c r="E56" s="5">
        <v>20.0</v>
      </c>
      <c r="F56" s="5">
        <v>25.0</v>
      </c>
      <c r="G56" s="5">
        <v>15.0</v>
      </c>
      <c r="H56" s="5">
        <f>AVERAGE(C56:G56)</f>
        <v>31</v>
      </c>
      <c r="I56" s="5">
        <f>H56*1000</f>
        <v>31000</v>
      </c>
      <c r="J56" s="5">
        <v>401053.9133282102</v>
      </c>
      <c r="K56" s="10">
        <f>SUM(I56:J56)</f>
        <v>432053.9133</v>
      </c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2"/>
    </row>
    <row r="58">
      <c r="A58" s="1"/>
      <c r="B58" s="1" t="s">
        <v>16</v>
      </c>
      <c r="C58" s="5">
        <v>15.0</v>
      </c>
      <c r="D58" s="5">
        <v>5.0</v>
      </c>
      <c r="E58" s="5">
        <v>15.0</v>
      </c>
      <c r="F58" s="5">
        <v>25.0</v>
      </c>
      <c r="G58" s="5">
        <v>5.0</v>
      </c>
      <c r="H58" s="5">
        <f>AVERAGE(C58:G58)</f>
        <v>13</v>
      </c>
      <c r="I58" s="5">
        <f>H58*1000</f>
        <v>13000</v>
      </c>
      <c r="J58" s="5">
        <v>578123.2139243013</v>
      </c>
      <c r="K58" s="10">
        <f>SUM(I58:J58)</f>
        <v>591123.2139</v>
      </c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2"/>
    </row>
    <row r="60">
      <c r="A60" s="1"/>
      <c r="B60" s="1" t="s">
        <v>17</v>
      </c>
      <c r="C60" s="5">
        <v>35.0</v>
      </c>
      <c r="D60" s="5">
        <v>70.0</v>
      </c>
      <c r="E60" s="5">
        <v>125.0</v>
      </c>
      <c r="F60" s="5">
        <v>40.0</v>
      </c>
      <c r="G60" s="5">
        <v>80.0</v>
      </c>
      <c r="H60" s="5">
        <f>AVERAGE(C60:G60)</f>
        <v>70</v>
      </c>
      <c r="I60" s="5">
        <f>H60*1000</f>
        <v>70000</v>
      </c>
      <c r="J60" s="5">
        <v>614204.46054012</v>
      </c>
      <c r="K60" s="10">
        <f>SUM(I60:J60)</f>
        <v>684204.4605</v>
      </c>
    </row>
  </sheetData>
  <drawing r:id="rId1"/>
</worksheet>
</file>